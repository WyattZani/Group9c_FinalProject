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teration 1" sheetId="2" state="visible" r:id="rId4"/>
    <sheet name="Iteration 2 Tasks" sheetId="3" state="visible" r:id="rId5"/>
    <sheet name="Iteration 2 Week" sheetId="4" state="visible" r:id="rId6"/>
    <sheet name="Contributions" sheetId="5" state="visible" r:id="rId7"/>
    <sheet name="Meeting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<sst xmlns="http://schemas.openxmlformats.org/spreadsheetml/2006/main" count="377" uniqueCount="255">
  <si>
    <t xml:space="preserve">Group 9C - Robot Path Navigator: Project Plan</t>
  </si>
  <si>
    <t xml:space="preserve">Computing Fundamentals final project. Members: Wyatt Zani, Robert, Isaiah.</t>
  </si>
  <si>
    <t xml:space="preserve">Project</t>
  </si>
  <si>
    <t xml:space="preserve">Robot grid navigation: user defines grid size, start A and goal B; robot avoids randomly generated obstacles while travelling from A to B on a limited battery.</t>
  </si>
  <si>
    <t xml:space="preserve">Repository</t>
  </si>
  <si>
    <t xml:space="preserve">https://github.com/WyattZani/Group9c_FinalProject</t>
  </si>
  <si>
    <t xml:space="preserve">Iteration 2 Project Leader</t>
  </si>
  <si>
    <t xml:space="preserve">TBD - must be someone who has not led before</t>
  </si>
  <si>
    <t xml:space="preserve">Iteration 2 due</t>
  </si>
  <si>
    <t xml:space="preserve">Iteration 2 progress</t>
  </si>
  <si>
    <t xml:space="preserve">Status</t>
  </si>
  <si>
    <t xml:space="preserve">Tasks (Task Table)</t>
  </si>
  <si>
    <t xml:space="preserve">Timeline items</t>
  </si>
  <si>
    <t xml:space="preserve">Not started</t>
  </si>
  <si>
    <t xml:space="preserve">Stub</t>
  </si>
  <si>
    <t xml:space="preserve">In progress</t>
  </si>
  <si>
    <t xml:space="preserve">Done</t>
  </si>
  <si>
    <t xml:space="preserve">% Done</t>
  </si>
  <si>
    <t xml:space="preserve">How to use this workbook</t>
  </si>
  <si>
    <t xml:space="preserve">- Yellow cells are inputs - update them as work progresses.</t>
  </si>
  <si>
    <t xml:space="preserve">- Status columns use a dropdown: Not started / Stub / In progress / Done. Colors update automatically.</t>
  </si>
  <si>
    <t xml:space="preserve">- The progress counts above are formulas and update from the 'Iteration 2 Tasks' and 'Iteration 2 Week' tabs.</t>
  </si>
  <si>
    <t xml:space="preserve">- Owners on the Iteration 2 tabs are suggestions - confirm them as a team and edit the yellow cells.</t>
  </si>
  <si>
    <t xml:space="preserve">- The Project Leader keeps this file current and presents it at the check-in meeting.</t>
  </si>
  <si>
    <t xml:space="preserve">Iteration 1 - Project Planning and Teamwork (due Oct 13)</t>
  </si>
  <si>
    <t xml:space="preserve">Review of what was submitted against the Iteration 1 requirements. Gaps should be fixed in the Iteration 2 report.</t>
  </si>
  <si>
    <t xml:space="preserve">Section</t>
  </si>
  <si>
    <t xml:space="preserve">Requirement</t>
  </si>
  <si>
    <t xml:space="preserve">What we submitted / evidence</t>
  </si>
  <si>
    <t xml:space="preserve">Gap / follow-up</t>
  </si>
  <si>
    <t xml:space="preserve">1. Objectives</t>
  </si>
  <si>
    <t xml:space="preserve">Individual objectives for each student</t>
  </si>
  <si>
    <t xml:space="preserve">Wyatt, Robert and Isaiah each listed an objective.</t>
  </si>
  <si>
    <t xml:space="preserve">Make them measurable (e.g. 'write and commit the Navigator class').</t>
  </si>
  <si>
    <t xml:space="preserve">Shared team objectives</t>
  </si>
  <si>
    <t xml:space="preserve">'Shared' heading in the PDF was left blank.</t>
  </si>
  <si>
    <t xml:space="preserve">Agree on 2-3 shared, measurable objectives.</t>
  </si>
  <si>
    <t xml:space="preserve">2. Technologies</t>
  </si>
  <si>
    <t xml:space="preserve">Languages, tools and frameworks chosen</t>
  </si>
  <si>
    <t xml:space="preserve">C++, VS Code, g++/MSVC, GitHub, test.sh, GitHub Issues, group chat, GitHub Actions.</t>
  </si>
  <si>
    <t xml:space="preserve">-</t>
  </si>
  <si>
    <t xml:space="preserve">Reason for each choice</t>
  </si>
  <si>
    <t xml:space="preserve">Reason column filled in for every row.</t>
  </si>
  <si>
    <t xml:space="preserve">3. Timeline</t>
  </si>
  <si>
    <t xml:space="preserve">Major tasks and milestones</t>
  </si>
  <si>
    <t xml:space="preserve">Set up repo, pseudocode, coding, debug, testing, final presentation.</t>
  </si>
  <si>
    <t xml:space="preserve">Deadlines for each task</t>
  </si>
  <si>
    <t xml:space="preserve">No dates in the timeline.</t>
  </si>
  <si>
    <t xml:space="preserve">Added on the 'Iteration 2 Week' tab.</t>
  </si>
  <si>
    <t xml:space="preserve">Responsibility assigned per task</t>
  </si>
  <si>
    <t xml:space="preserve">Contributions listed per person, but not tied to timeline tasks.</t>
  </si>
  <si>
    <t xml:space="preserve">Owner column added on the 'Iteration 2 Tasks' tab.</t>
  </si>
  <si>
    <t xml:space="preserve">Expected deliverable per task</t>
  </si>
  <si>
    <t xml:space="preserve">Not included.</t>
  </si>
  <si>
    <t xml:space="preserve">Deliverable column added on the Iteration 2 tabs.</t>
  </si>
  <si>
    <t xml:space="preserve">Communication, progress tracking, handling challenges</t>
  </si>
  <si>
    <t xml:space="preserve">Group chat and GitHub Issues listed as tools.</t>
  </si>
  <si>
    <t xml:space="preserve">Describe how often you meet and how blockers are raised.</t>
  </si>
  <si>
    <t xml:space="preserve">4. Document</t>
  </si>
  <si>
    <t xml:space="preserve">Project scope and expected deliverables</t>
  </si>
  <si>
    <t xml:space="preserve">Section 1 'What is the project?'</t>
  </si>
  <si>
    <t xml:space="preserve">Contribution table (this iteration + next)</t>
  </si>
  <si>
    <t xml:space="preserve">Section 5 lists contributions as bullets, not a table.</t>
  </si>
  <si>
    <t xml:space="preserve">See 'Contributions' tab.</t>
  </si>
  <si>
    <t xml:space="preserve">Summary of team meetings and decisions</t>
  </si>
  <si>
    <t xml:space="preserve">See 'Meetings' tab.</t>
  </si>
  <si>
    <t xml:space="preserve">PDF uploaded to GitHub repo</t>
  </si>
  <si>
    <t xml:space="preserve">PDF is not in the repository.</t>
  </si>
  <si>
    <t xml:space="preserve">Add to docs/ folder.</t>
  </si>
  <si>
    <t xml:space="preserve">5. Teamwork</t>
  </si>
  <si>
    <t xml:space="preserve">Individual reflection and peer review</t>
  </si>
  <si>
    <t xml:space="preserve">Wyatt's reflection and peer ratings included.</t>
  </si>
  <si>
    <t xml:space="preserve">Each member submits their own.</t>
  </si>
  <si>
    <t xml:space="preserve">Code</t>
  </si>
  <si>
    <t xml:space="preserve">First working draft of the program</t>
  </si>
  <si>
    <t xml:space="preserve">Group9FinalDraft1.cpp: full simulation in one file (grid input, obstacles, BFS route check, detour logic, battery, display).</t>
  </si>
  <si>
    <t xml:space="preserve">Restructure into classes and a menu in Iteration 2.</t>
  </si>
  <si>
    <t xml:space="preserve">Iteration 2 - Task Table</t>
  </si>
  <si>
    <t xml:space="preserve">Every feature is a task with a menu option. Status reflects the end of this iteration. Owners are suggestions - confirm as a team.</t>
  </si>
  <si>
    <t xml:space="preserve">Task ID</t>
  </si>
  <si>
    <t xml:space="preserve">Task name</t>
  </si>
  <si>
    <t xml:space="preserve">Menu option</t>
  </si>
  <si>
    <t xml:space="preserve">Responsible</t>
  </si>
  <si>
    <t xml:space="preserve">Files / functions</t>
  </si>
  <si>
    <t xml:space="preserve">Expected deliverable</t>
  </si>
  <si>
    <t xml:space="preserve">T0</t>
  </si>
  <si>
    <t xml:space="preserve">Menu loop and program skeleton</t>
  </si>
  <si>
    <t xml:space="preserve">main</t>
  </si>
  <si>
    <t xml:space="preserve">Project Leader</t>
  </si>
  <si>
    <t xml:space="preserve">main.cpp: main(), printMenu(); tasks.h/.cpp: all stubs</t>
  </si>
  <si>
    <t xml:space="preserve">Program compiles and every menu option runs (stub prints 'not implemented yet')</t>
  </si>
  <si>
    <t xml:space="preserve">T1</t>
  </si>
  <si>
    <t xml:space="preserve">Configure grid (size, obstacle count)</t>
  </si>
  <si>
    <t xml:space="preserve">1</t>
  </si>
  <si>
    <t xml:space="preserve">Isaiah</t>
  </si>
  <si>
    <t xml:space="preserve">grid.h/.cpp: Grid::setSize(), Grid::clear(); tasks.cpp: taskConfigureGrid()</t>
  </si>
  <si>
    <t xml:space="preserve">User can set side length 3-10 and obstacle count with input validation</t>
  </si>
  <si>
    <t xml:space="preserve">T2</t>
  </si>
  <si>
    <t xml:space="preserve">Set start A and goal B</t>
  </si>
  <si>
    <t xml:space="preserve">2</t>
  </si>
  <si>
    <t xml:space="preserve">input.h/.cpp: readInt(), readPoint(); tasks.cpp: taskSetPoints()</t>
  </si>
  <si>
    <t xml:space="preserve">A and B entered and validated (in bounds, A != B)</t>
  </si>
  <si>
    <t xml:space="preserve">T3</t>
  </si>
  <si>
    <t xml:space="preserve">Generate obstacles + route check</t>
  </si>
  <si>
    <t xml:space="preserve">3</t>
  </si>
  <si>
    <t xml:space="preserve">grid.cpp: Grid::placeObstacles(), Grid::pathExists(), Grid::isFree()</t>
  </si>
  <si>
    <t xml:space="preserve">Battleship-style obstacles placed; layout guarantees a route from A to B</t>
  </si>
  <si>
    <t xml:space="preserve">T4</t>
  </si>
  <si>
    <t xml:space="preserve">Display current grid</t>
  </si>
  <si>
    <t xml:space="preserve">4</t>
  </si>
  <si>
    <t xml:space="preserve">Wyatt</t>
  </si>
  <si>
    <t xml:space="preserve">display.h/.cpp: render(), cellSymbol(); tasks.cpp: taskShowGrid()</t>
  </si>
  <si>
    <t xml:space="preserve">Grid printed with A, B, obstacles, path, robot and stats</t>
  </si>
  <si>
    <t xml:space="preserve">T5</t>
  </si>
  <si>
    <t xml:space="preserve">Run simulation (animated)</t>
  </si>
  <si>
    <t xml:space="preserve">5</t>
  </si>
  <si>
    <t xml:space="preserve">Robert</t>
  </si>
  <si>
    <t xml:space="preserve">navigator.h/.cpp: Navigator::run(), Navigator::step(); robot.h/.cpp: Robot::move()</t>
  </si>
  <si>
    <t xml:space="preserve">Robot travels A to B, detours around obstacles, uses battery</t>
  </si>
  <si>
    <t xml:space="preserve">T6</t>
  </si>
  <si>
    <t xml:space="preserve">Show results of last run</t>
  </si>
  <si>
    <t xml:space="preserve">6</t>
  </si>
  <si>
    <t xml:space="preserve">navigator.cpp: Navigator::printResults(), getOutcome()</t>
  </si>
  <si>
    <t xml:space="preserve">Outcome (reached / battery dead / trapped), moves, distance, battery shown</t>
  </si>
  <si>
    <t xml:space="preserve">T7</t>
  </si>
  <si>
    <t xml:space="preserve">Help and legend</t>
  </si>
  <si>
    <t xml:space="preserve">7</t>
  </si>
  <si>
    <t xml:space="preserve">display.cpp: printHeader(), printLegend()</t>
  </si>
  <si>
    <t xml:space="preserve">Program description, symbols and coordinate rules shown</t>
  </si>
  <si>
    <t xml:space="preserve">T8</t>
  </si>
  <si>
    <t xml:space="preserve">Reset / new map</t>
  </si>
  <si>
    <t xml:space="preserve">8</t>
  </si>
  <si>
    <t xml:space="preserve">tasks.cpp: taskReset(); grid.cpp: Grid::clear(); robot.cpp: Robot::reset()</t>
  </si>
  <si>
    <t xml:space="preserve">All settings cleared so a new run can be configured</t>
  </si>
  <si>
    <t xml:space="preserve">T9</t>
  </si>
  <si>
    <t xml:space="preserve">Save / load map (optional)</t>
  </si>
  <si>
    <t xml:space="preserve">9</t>
  </si>
  <si>
    <t xml:space="preserve">grid.cpp: Grid::save(), Grid::load()</t>
  </si>
  <si>
    <t xml:space="preserve">Grid layout written to and read from a text file</t>
  </si>
  <si>
    <t xml:space="preserve">T10</t>
  </si>
  <si>
    <t xml:space="preserve">Run history / statistics (optional)</t>
  </si>
  <si>
    <t xml:space="preserve">10</t>
  </si>
  <si>
    <t xml:space="preserve">tasks.cpp: taskHistory()</t>
  </si>
  <si>
    <t xml:space="preserve">Success rate and average moves across runs this session</t>
  </si>
  <si>
    <t xml:space="preserve">T11</t>
  </si>
  <si>
    <t xml:space="preserve">Exit</t>
  </si>
  <si>
    <t xml:space="preserve">0</t>
  </si>
  <si>
    <t xml:space="preserve">main.cpp: case 0</t>
  </si>
  <si>
    <t xml:space="preserve">Program exits cleanly</t>
  </si>
  <si>
    <t xml:space="preserve">D1</t>
  </si>
  <si>
    <t xml:space="preserve">README with build and run instructions</t>
  </si>
  <si>
    <t xml:space="preserve">README.md</t>
  </si>
  <si>
    <t xml:space="preserve">Description, build command, run command, menu list, team</t>
  </si>
  <si>
    <t xml:space="preserve">D2</t>
  </si>
  <si>
    <t xml:space="preserve">System design (classes, menu, files, diagram)</t>
  </si>
  <si>
    <t xml:space="preserve">All</t>
  </si>
  <si>
    <t xml:space="preserve">docs/Iteration02_Report.pdf</t>
  </si>
  <si>
    <t xml:space="preserve">Class list, menu design, file structure, class diagram</t>
  </si>
  <si>
    <t xml:space="preserve">D3</t>
  </si>
  <si>
    <t xml:space="preserve">Project Plan (this Excel file)</t>
  </si>
  <si>
    <t xml:space="preserve">docs/Project_Plan.xlsx</t>
  </si>
  <si>
    <t xml:space="preserve">Task table, revised timeline, contributions kept up to date</t>
  </si>
  <si>
    <t xml:space="preserve">Planned classes</t>
  </si>
  <si>
    <t xml:space="preserve">Class</t>
  </si>
  <si>
    <t xml:space="preserve">Private data</t>
  </si>
  <si>
    <t xml:space="preserve">Public methods</t>
  </si>
  <si>
    <t xml:space="preserve">Point (struct)</t>
  </si>
  <si>
    <t xml:space="preserve">r, c</t>
  </si>
  <si>
    <t xml:space="preserve">samePoint()</t>
  </si>
  <si>
    <t xml:space="preserve">Grid</t>
  </si>
  <si>
    <t xml:space="preserve">side, cells[MAX_SIDE][MAX_SIDE]</t>
  </si>
  <si>
    <t xml:space="preserve">setSize(), getSize(), clear(), inBounds(), isFree(), getCell(), markVisited(), placeObstacles(), pathExists()</t>
  </si>
  <si>
    <t xml:space="preserve">Robot</t>
  </si>
  <si>
    <t xml:space="preserve">pos, moves, distance, battery</t>
  </si>
  <si>
    <t xml:space="preserve">move(dr, dc), hasBattery(), reset(start), getters</t>
  </si>
  <si>
    <t xml:space="preserve">Navigator</t>
  </si>
  <si>
    <t xml:space="preserve">Grid&amp;, Robot, A, B, phase, lane, detouring, lastForward, retreating, sideDir, outcome</t>
  </si>
  <si>
    <t xml:space="preserve">run(), step(), getOutcome(), printResults()</t>
  </si>
  <si>
    <t xml:space="preserve">display / input (functions)</t>
  </si>
  <si>
    <t xml:space="preserve">render(), printHeader(), printLegend(), readInt(), readPoint()</t>
  </si>
  <si>
    <t xml:space="preserve">Iteration 2 - Week Plan (Sat Oct 24 - Fri Oct 30, 2026)</t>
  </si>
  <si>
    <t xml:space="preserve">Day-by-day schedule. Update Status and Notes daily; the Project Leader reviews this at each check-in.</t>
  </si>
  <si>
    <t xml:space="preserve">Date</t>
  </si>
  <si>
    <t xml:space="preserve">Task</t>
  </si>
  <si>
    <t xml:space="preserve">Owner</t>
  </si>
  <si>
    <t xml:space="preserve">Deliverable</t>
  </si>
  <si>
    <t xml:space="preserve">Notes</t>
  </si>
  <si>
    <t xml:space="preserve">Pick Project Leader (someone who has not led before)</t>
  </si>
  <si>
    <t xml:space="preserve">Leader named on Summary tab</t>
  </si>
  <si>
    <t xml:space="preserve">Agree on task table, owners and class design</t>
  </si>
  <si>
    <t xml:space="preserve">Task table confirmed</t>
  </si>
  <si>
    <t xml:space="preserve">Commit skeleton: all .h/.cpp files, class declarations, switch menu, stubs</t>
  </si>
  <si>
    <t xml:space="preserve">Repo compiles with g++ -std=c++17 src/*.cpp; every option prints 'not implemented yet'</t>
  </si>
  <si>
    <t xml:space="preserve">Create README draft with build/run instructions</t>
  </si>
  <si>
    <t xml:space="preserve">README.md committed</t>
  </si>
  <si>
    <t xml:space="preserve">Port grid size, A/B input and obstacle generation into Grid/input files</t>
  </si>
  <si>
    <t xml:space="preserve">Options 1-3 working</t>
  </si>
  <si>
    <t xml:space="preserve">T1-T3</t>
  </si>
  <si>
    <t xml:space="preserve">Port display, header and legend into display files</t>
  </si>
  <si>
    <t xml:space="preserve">Options 4 and 7 working</t>
  </si>
  <si>
    <t xml:space="preserve">T4, T7</t>
  </si>
  <si>
    <t xml:space="preserve">Port simulation loop into Navigator and Robot classes</t>
  </si>
  <si>
    <t xml:space="preserve">Option 5 working</t>
  </si>
  <si>
    <t xml:space="preserve">Implement reset / new map</t>
  </si>
  <si>
    <t xml:space="preserve">Option 8 working</t>
  </si>
  <si>
    <t xml:space="preserve">Results screen; start run history</t>
  </si>
  <si>
    <t xml:space="preserve">Option 6 working; option 10 stub or in progress</t>
  </si>
  <si>
    <t xml:space="preserve">T6, T10</t>
  </si>
  <si>
    <t xml:space="preserve">Start save/load map</t>
  </si>
  <si>
    <t xml:space="preserve">Option 9 stub or in progress</t>
  </si>
  <si>
    <t xml:space="preserve">Check-in meeting: Leader presents status report</t>
  </si>
  <si>
    <t xml:space="preserve">Everything compiles together; blockers recorded on Meetings tab</t>
  </si>
  <si>
    <t xml:space="preserve">Draw class diagram; write system design section</t>
  </si>
  <si>
    <t xml:space="preserve">Diagram + design in report</t>
  </si>
  <si>
    <t xml:space="preserve">Update this Excel plan (task status, contributions)</t>
  </si>
  <si>
    <t xml:space="preserve">Project_Plan.xlsx current</t>
  </si>
  <si>
    <t xml:space="preserve">Write individual reflections</t>
  </si>
  <si>
    <t xml:space="preserve">One reflection per member in report</t>
  </si>
  <si>
    <t xml:space="preserve">Fresh-clone build test; remove old Group9FinalDraft1.cpp</t>
  </si>
  <si>
    <t xml:space="preserve">Clean build from a new clone</t>
  </si>
  <si>
    <t xml:space="preserve">Export report PDF to docs/; final push</t>
  </si>
  <si>
    <t xml:space="preserve">docs/ has PDF + Excel</t>
  </si>
  <si>
    <t xml:space="preserve">D2, D3</t>
  </si>
  <si>
    <t xml:space="preserve">Each member submits GitHub link on Canvas (by 11:59pm)</t>
  </si>
  <si>
    <t xml:space="preserve">3 Canvas submissions</t>
  </si>
  <si>
    <t xml:space="preserve">Contribution Table</t>
  </si>
  <si>
    <t xml:space="preserve">What each member completed, and their responsibilities for the next iteration.</t>
  </si>
  <si>
    <t xml:space="preserve">Member</t>
  </si>
  <si>
    <t xml:space="preserve">Iteration</t>
  </si>
  <si>
    <t xml:space="preserve">Completed this iteration</t>
  </si>
  <si>
    <t xml:space="preserve">Responsibilities for next iteration</t>
  </si>
  <si>
    <t xml:space="preserve">Wyatt Zani</t>
  </si>
  <si>
    <t xml:space="preserve">Iteration 1</t>
  </si>
  <si>
    <t xml:space="preserve">Set up the group repo; wrote project overview, part of technologies table, own objective and contributions; individual reflection; committed first program draft (Group9FinalDraft1.cpp).</t>
  </si>
  <si>
    <t xml:space="preserve">Iteration 2: T4 display, T7 help/legend, T8 reset, D1 README.</t>
  </si>
  <si>
    <t xml:space="preserve">Assisted with pseudocode; programming and most of the navigation logic; helped teammates with their sections.</t>
  </si>
  <si>
    <t xml:space="preserve">Iteration 2: T5 simulation (Navigator, Robot), T6 results, T10 run history.</t>
  </si>
  <si>
    <t xml:space="preserve">Contributed ideas and organised information; worked on the program and bug fixes; helped push repo files.</t>
  </si>
  <si>
    <t xml:space="preserve">Iteration 2: T1 grid config, T2 A/B input, T3 obstacles + route check, T9 save/load.</t>
  </si>
  <si>
    <t xml:space="preserve">Iteration 2</t>
  </si>
  <si>
    <t xml:space="preserve">Iteration 3: TBD</t>
  </si>
  <si>
    <t xml:space="preserve">Iteration 1 rows come from the Iteration 1 PDF. Fill in the Iteration 2 rows by Oct 29.</t>
  </si>
  <si>
    <t xml:space="preserve">Team Meetings and Decisions</t>
  </si>
  <si>
    <t xml:space="preserve">Record every meeting, even short group-chat check-ins.</t>
  </si>
  <si>
    <t xml:space="preserve">Format</t>
  </si>
  <si>
    <t xml:space="preserve">Attendees</t>
  </si>
  <si>
    <t xml:space="preserve">Topic</t>
  </si>
  <si>
    <t xml:space="preserve">Decisions</t>
  </si>
  <si>
    <t xml:space="preserve">Action items</t>
  </si>
  <si>
    <t xml:space="preserve">Group chat</t>
  </si>
  <si>
    <t xml:space="preserve">Kickoff for Iteration 2</t>
  </si>
  <si>
    <t xml:space="preserve">Example: chose Project Leader; agreed task table</t>
  </si>
  <si>
    <t xml:space="preserve">Example: Leader pushes skeleton by Sun</t>
  </si>
  <si>
    <t xml:space="preserve">In person / call</t>
  </si>
  <si>
    <t xml:space="preserve">Check-in: Leader status report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</si>
</sst>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d\ mmm\ d&quot;, &quot;yyyy"/>
    <numFmt numFmtId="166" formatCode="0%"/>
    <numFmt numFmtId="167" formatCode="ddd\ mmm\ 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E699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5" t="s">
        <v>7</v>
      </c>
    </row>
    <row r="7" customFormat="false" ht="15" hidden="false" customHeight="false" outlineLevel="0" collapsed="false">
      <c r="A7" s="3" t="s">
        <v>8</v>
      </c>
      <c r="B7" s="6" t="n">
        <v>46325</v>
      </c>
    </row>
    <row r="9" customFormat="false" ht="15" hidden="false" customHeight="false" outlineLevel="0" collapsed="false">
      <c r="A9" s="7" t="s">
        <v>9</v>
      </c>
    </row>
    <row r="10" customFormat="false" ht="15" hidden="false" customHeight="false" outlineLevel="0" collapsed="false">
      <c r="A10" s="8" t="s">
        <v>10</v>
      </c>
      <c r="B10" s="8" t="s">
        <v>11</v>
      </c>
      <c r="C10" s="8" t="s">
        <v>12</v>
      </c>
    </row>
    <row r="11" customFormat="false" ht="15" hidden="false" customHeight="false" outlineLevel="0" collapsed="false">
      <c r="A11" s="9" t="s">
        <v>13</v>
      </c>
      <c r="B11" s="9" t="n">
        <f aca="false">COUNTIF('Iteration 2 Tasks'!$G:$G,A11)</f>
        <v>14</v>
      </c>
      <c r="C11" s="9" t="n">
        <f aca="false">COUNTIF('Iteration 2 Week'!$F:$F,A11)</f>
        <v>17</v>
      </c>
    </row>
    <row r="12" customFormat="false" ht="15" hidden="false" customHeight="false" outlineLevel="0" collapsed="false">
      <c r="A12" s="9" t="s">
        <v>14</v>
      </c>
      <c r="B12" s="9" t="n">
        <f aca="false">COUNTIF('Iteration 2 Tasks'!$G:$G,A12)</f>
        <v>0</v>
      </c>
      <c r="C12" s="9" t="n">
        <f aca="false">COUNTIF('Iteration 2 Week'!$F:$F,A12)</f>
        <v>0</v>
      </c>
    </row>
    <row r="13" customFormat="false" ht="15" hidden="false" customHeight="false" outlineLevel="0" collapsed="false">
      <c r="A13" s="9" t="s">
        <v>15</v>
      </c>
      <c r="B13" s="9" t="n">
        <f aca="false">COUNTIF('Iteration 2 Tasks'!$G:$G,A13)</f>
        <v>1</v>
      </c>
      <c r="C13" s="9" t="n">
        <f aca="false">COUNTIF('Iteration 2 Week'!$F:$F,A13)</f>
        <v>0</v>
      </c>
    </row>
    <row r="14" customFormat="false" ht="15" hidden="false" customHeight="false" outlineLevel="0" collapsed="false">
      <c r="A14" s="9" t="s">
        <v>16</v>
      </c>
      <c r="B14" s="9" t="n">
        <f aca="false">COUNTIF('Iteration 2 Tasks'!$G:$G,A14)</f>
        <v>0</v>
      </c>
      <c r="C14" s="9" t="n">
        <f aca="false">COUNTIF('Iteration 2 Week'!$F:$F,A14)</f>
        <v>0</v>
      </c>
    </row>
    <row r="15" customFormat="false" ht="15" hidden="false" customHeight="false" outlineLevel="0" collapsed="false">
      <c r="A15" s="10" t="s">
        <v>17</v>
      </c>
      <c r="B15" s="11" t="n">
        <f aca="false">IFERROR(B14/SUM(B11:B14),0)</f>
        <v>0</v>
      </c>
      <c r="C15" s="11" t="n">
        <f aca="false">IFERROR(C14/SUM(C11:C14),0)</f>
        <v>0</v>
      </c>
    </row>
    <row r="17" customFormat="false" ht="15" hidden="false" customHeight="false" outlineLevel="0" collapsed="false">
      <c r="A17" s="7" t="s">
        <v>18</v>
      </c>
    </row>
    <row r="18" customFormat="false" ht="15" hidden="false" customHeight="false" outlineLevel="0" collapsed="false">
      <c r="A18" s="12" t="s">
        <v>19</v>
      </c>
    </row>
    <row r="19" customFormat="false" ht="15" hidden="false" customHeight="false" outlineLevel="0" collapsed="false">
      <c r="A19" s="12" t="s">
        <v>20</v>
      </c>
    </row>
    <row r="20" customFormat="false" ht="15" hidden="false" customHeight="false" outlineLevel="0" collapsed="false">
      <c r="A20" s="12" t="s">
        <v>21</v>
      </c>
    </row>
    <row r="21" customFormat="false" ht="15" hidden="false" customHeight="false" outlineLevel="0" collapsed="false">
      <c r="A21" s="12" t="s">
        <v>22</v>
      </c>
    </row>
    <row r="22" customFormat="false" ht="15" hidden="false" customHeight="false" outlineLevel="0" collapsed="false">
      <c r="A22" s="1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55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13" t="s">
        <v>26</v>
      </c>
      <c r="B4" s="13" t="s">
        <v>27</v>
      </c>
      <c r="C4" s="13" t="s">
        <v>10</v>
      </c>
      <c r="D4" s="13" t="s">
        <v>28</v>
      </c>
      <c r="E4" s="13" t="s">
        <v>29</v>
      </c>
    </row>
    <row r="5" customFormat="false" ht="23.85" hidden="false" customHeight="false" outlineLevel="0" collapsed="false">
      <c r="A5" s="14" t="s">
        <v>30</v>
      </c>
      <c r="B5" s="14" t="s">
        <v>31</v>
      </c>
      <c r="C5" s="15" t="s">
        <v>16</v>
      </c>
      <c r="D5" s="14" t="s">
        <v>32</v>
      </c>
      <c r="E5" s="14" t="s">
        <v>33</v>
      </c>
    </row>
    <row r="6" customFormat="false" ht="15" hidden="false" customHeight="false" outlineLevel="0" collapsed="false">
      <c r="A6" s="14" t="s">
        <v>30</v>
      </c>
      <c r="B6" s="14" t="s">
        <v>34</v>
      </c>
      <c r="C6" s="15" t="s">
        <v>13</v>
      </c>
      <c r="D6" s="14" t="s">
        <v>35</v>
      </c>
      <c r="E6" s="14" t="s">
        <v>36</v>
      </c>
    </row>
    <row r="7" customFormat="false" ht="23.85" hidden="false" customHeight="false" outlineLevel="0" collapsed="false">
      <c r="A7" s="14" t="s">
        <v>37</v>
      </c>
      <c r="B7" s="14" t="s">
        <v>38</v>
      </c>
      <c r="C7" s="15" t="s">
        <v>16</v>
      </c>
      <c r="D7" s="14" t="s">
        <v>39</v>
      </c>
      <c r="E7" s="14" t="s">
        <v>40</v>
      </c>
    </row>
    <row r="8" customFormat="false" ht="15" hidden="false" customHeight="false" outlineLevel="0" collapsed="false">
      <c r="A8" s="14" t="s">
        <v>37</v>
      </c>
      <c r="B8" s="14" t="s">
        <v>41</v>
      </c>
      <c r="C8" s="15" t="s">
        <v>16</v>
      </c>
      <c r="D8" s="14" t="s">
        <v>42</v>
      </c>
      <c r="E8" s="14" t="s">
        <v>40</v>
      </c>
    </row>
    <row r="9" customFormat="false" ht="15" hidden="false" customHeight="false" outlineLevel="0" collapsed="false">
      <c r="A9" s="14" t="s">
        <v>43</v>
      </c>
      <c r="B9" s="14" t="s">
        <v>44</v>
      </c>
      <c r="C9" s="15" t="s">
        <v>16</v>
      </c>
      <c r="D9" s="14" t="s">
        <v>45</v>
      </c>
      <c r="E9" s="14" t="s">
        <v>40</v>
      </c>
    </row>
    <row r="10" customFormat="false" ht="15" hidden="false" customHeight="false" outlineLevel="0" collapsed="false">
      <c r="A10" s="14" t="s">
        <v>43</v>
      </c>
      <c r="B10" s="14" t="s">
        <v>46</v>
      </c>
      <c r="C10" s="15" t="s">
        <v>13</v>
      </c>
      <c r="D10" s="14" t="s">
        <v>47</v>
      </c>
      <c r="E10" s="14" t="s">
        <v>48</v>
      </c>
    </row>
    <row r="11" customFormat="false" ht="15" hidden="false" customHeight="false" outlineLevel="0" collapsed="false">
      <c r="A11" s="14" t="s">
        <v>43</v>
      </c>
      <c r="B11" s="14" t="s">
        <v>49</v>
      </c>
      <c r="C11" s="15" t="s">
        <v>15</v>
      </c>
      <c r="D11" s="14" t="s">
        <v>50</v>
      </c>
      <c r="E11" s="14" t="s">
        <v>51</v>
      </c>
    </row>
    <row r="12" customFormat="false" ht="15" hidden="false" customHeight="false" outlineLevel="0" collapsed="false">
      <c r="A12" s="14" t="s">
        <v>43</v>
      </c>
      <c r="B12" s="14" t="s">
        <v>52</v>
      </c>
      <c r="C12" s="15" t="s">
        <v>13</v>
      </c>
      <c r="D12" s="14" t="s">
        <v>53</v>
      </c>
      <c r="E12" s="14" t="s">
        <v>54</v>
      </c>
    </row>
    <row r="13" customFormat="false" ht="23.85" hidden="false" customHeight="false" outlineLevel="0" collapsed="false">
      <c r="A13" s="14" t="s">
        <v>43</v>
      </c>
      <c r="B13" s="14" t="s">
        <v>55</v>
      </c>
      <c r="C13" s="15" t="s">
        <v>15</v>
      </c>
      <c r="D13" s="14" t="s">
        <v>56</v>
      </c>
      <c r="E13" s="14" t="s">
        <v>57</v>
      </c>
    </row>
    <row r="14" customFormat="false" ht="15" hidden="false" customHeight="false" outlineLevel="0" collapsed="false">
      <c r="A14" s="14" t="s">
        <v>58</v>
      </c>
      <c r="B14" s="14" t="s">
        <v>59</v>
      </c>
      <c r="C14" s="15" t="s">
        <v>16</v>
      </c>
      <c r="D14" s="14" t="s">
        <v>60</v>
      </c>
      <c r="E14" s="14" t="s">
        <v>40</v>
      </c>
    </row>
    <row r="15" customFormat="false" ht="15" hidden="false" customHeight="false" outlineLevel="0" collapsed="false">
      <c r="A15" s="14" t="s">
        <v>58</v>
      </c>
      <c r="B15" s="14" t="s">
        <v>61</v>
      </c>
      <c r="C15" s="15" t="s">
        <v>15</v>
      </c>
      <c r="D15" s="14" t="s">
        <v>62</v>
      </c>
      <c r="E15" s="14" t="s">
        <v>63</v>
      </c>
    </row>
    <row r="16" customFormat="false" ht="15" hidden="false" customHeight="false" outlineLevel="0" collapsed="false">
      <c r="A16" s="14" t="s">
        <v>58</v>
      </c>
      <c r="B16" s="14" t="s">
        <v>64</v>
      </c>
      <c r="C16" s="15" t="s">
        <v>13</v>
      </c>
      <c r="D16" s="14" t="s">
        <v>53</v>
      </c>
      <c r="E16" s="14" t="s">
        <v>65</v>
      </c>
    </row>
    <row r="17" customFormat="false" ht="15" hidden="false" customHeight="false" outlineLevel="0" collapsed="false">
      <c r="A17" s="14" t="s">
        <v>58</v>
      </c>
      <c r="B17" s="14" t="s">
        <v>66</v>
      </c>
      <c r="C17" s="15" t="s">
        <v>13</v>
      </c>
      <c r="D17" s="14" t="s">
        <v>67</v>
      </c>
      <c r="E17" s="14" t="s">
        <v>68</v>
      </c>
    </row>
    <row r="18" customFormat="false" ht="15" hidden="false" customHeight="false" outlineLevel="0" collapsed="false">
      <c r="A18" s="14" t="s">
        <v>69</v>
      </c>
      <c r="B18" s="14" t="s">
        <v>70</v>
      </c>
      <c r="C18" s="15" t="s">
        <v>16</v>
      </c>
      <c r="D18" s="14" t="s">
        <v>71</v>
      </c>
      <c r="E18" s="14" t="s">
        <v>72</v>
      </c>
    </row>
    <row r="19" customFormat="false" ht="23.85" hidden="false" customHeight="false" outlineLevel="0" collapsed="false">
      <c r="A19" s="14" t="s">
        <v>73</v>
      </c>
      <c r="B19" s="14" t="s">
        <v>74</v>
      </c>
      <c r="C19" s="15" t="s">
        <v>16</v>
      </c>
      <c r="D19" s="14" t="s">
        <v>75</v>
      </c>
      <c r="E19" s="14" t="s">
        <v>76</v>
      </c>
    </row>
  </sheetData>
  <conditionalFormatting sqref="C5:C19">
    <cfRule type="cellIs" priority="2" operator="equal" aboveAverage="0" equalAverage="0" bottom="0" percent="0" rank="0" text="" dxfId="0">
      <formula>"Not started"</formula>
    </cfRule>
    <cfRule type="cellIs" priority="3" operator="equal" aboveAverage="0" equalAverage="0" bottom="0" percent="0" rank="0" text="" dxfId="1">
      <formula>"Stub"</formula>
    </cfRule>
    <cfRule type="cellIs" priority="4" operator="equal" aboveAverage="0" equalAverage="0" bottom="0" percent="0" rank="0" text="" dxfId="2">
      <formula>"In progress"</formula>
    </cfRule>
    <cfRule type="cellIs" priority="5" operator="equal" aboveAverage="0" equalAverage="0" bottom="0" percent="0" rank="0" text="" dxfId="3">
      <formula>"Done"</formula>
    </cfRule>
  </conditionalFormatting>
  <dataValidations count="1">
    <dataValidation allowBlank="true" errorStyle="stop" operator="between" showDropDown="false" showErrorMessage="false" showInputMessage="false" sqref="C5:C19" type="list">
      <formula1>"Not started,Stub,In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6" min="5" style="0" width="52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23.85" hidden="false" customHeight="false" outlineLevel="0" collapsed="false">
      <c r="A4" s="13" t="s">
        <v>79</v>
      </c>
      <c r="B4" s="13" t="s">
        <v>80</v>
      </c>
      <c r="C4" s="13" t="s">
        <v>81</v>
      </c>
      <c r="D4" s="13" t="s">
        <v>82</v>
      </c>
      <c r="E4" s="13" t="s">
        <v>83</v>
      </c>
      <c r="F4" s="13" t="s">
        <v>84</v>
      </c>
      <c r="G4" s="13" t="s">
        <v>10</v>
      </c>
    </row>
    <row r="5" customFormat="false" ht="23.85" hidden="false" customHeight="false" outlineLevel="0" collapsed="false">
      <c r="A5" s="14" t="s">
        <v>85</v>
      </c>
      <c r="B5" s="14" t="s">
        <v>86</v>
      </c>
      <c r="C5" s="14" t="s">
        <v>87</v>
      </c>
      <c r="D5" s="15" t="s">
        <v>88</v>
      </c>
      <c r="E5" s="14" t="s">
        <v>89</v>
      </c>
      <c r="F5" s="14" t="s">
        <v>90</v>
      </c>
      <c r="G5" s="15" t="s">
        <v>13</v>
      </c>
    </row>
    <row r="6" customFormat="false" ht="23.85" hidden="false" customHeight="false" outlineLevel="0" collapsed="false">
      <c r="A6" s="14" t="s">
        <v>91</v>
      </c>
      <c r="B6" s="14" t="s">
        <v>92</v>
      </c>
      <c r="C6" s="14" t="s">
        <v>93</v>
      </c>
      <c r="D6" s="15" t="s">
        <v>94</v>
      </c>
      <c r="E6" s="14" t="s">
        <v>95</v>
      </c>
      <c r="F6" s="14" t="s">
        <v>96</v>
      </c>
      <c r="G6" s="15" t="s">
        <v>13</v>
      </c>
    </row>
    <row r="7" customFormat="false" ht="15" hidden="false" customHeight="false" outlineLevel="0" collapsed="false">
      <c r="A7" s="14" t="s">
        <v>97</v>
      </c>
      <c r="B7" s="14" t="s">
        <v>98</v>
      </c>
      <c r="C7" s="14" t="s">
        <v>99</v>
      </c>
      <c r="D7" s="15" t="s">
        <v>94</v>
      </c>
      <c r="E7" s="14" t="s">
        <v>100</v>
      </c>
      <c r="F7" s="14" t="s">
        <v>101</v>
      </c>
      <c r="G7" s="15" t="s">
        <v>13</v>
      </c>
    </row>
    <row r="8" customFormat="false" ht="23.85" hidden="false" customHeight="false" outlineLevel="0" collapsed="false">
      <c r="A8" s="14" t="s">
        <v>102</v>
      </c>
      <c r="B8" s="14" t="s">
        <v>103</v>
      </c>
      <c r="C8" s="14" t="s">
        <v>104</v>
      </c>
      <c r="D8" s="15" t="s">
        <v>94</v>
      </c>
      <c r="E8" s="14" t="s">
        <v>105</v>
      </c>
      <c r="F8" s="14" t="s">
        <v>106</v>
      </c>
      <c r="G8" s="15" t="s">
        <v>13</v>
      </c>
    </row>
    <row r="9" customFormat="false" ht="23.85" hidden="false" customHeight="false" outlineLevel="0" collapsed="false">
      <c r="A9" s="14" t="s">
        <v>107</v>
      </c>
      <c r="B9" s="14" t="s">
        <v>108</v>
      </c>
      <c r="C9" s="14" t="s">
        <v>109</v>
      </c>
      <c r="D9" s="15" t="s">
        <v>110</v>
      </c>
      <c r="E9" s="14" t="s">
        <v>111</v>
      </c>
      <c r="F9" s="14" t="s">
        <v>112</v>
      </c>
      <c r="G9" s="15" t="s">
        <v>13</v>
      </c>
    </row>
    <row r="10" customFormat="false" ht="23.85" hidden="false" customHeight="false" outlineLevel="0" collapsed="false">
      <c r="A10" s="14" t="s">
        <v>113</v>
      </c>
      <c r="B10" s="14" t="s">
        <v>114</v>
      </c>
      <c r="C10" s="14" t="s">
        <v>115</v>
      </c>
      <c r="D10" s="15" t="s">
        <v>116</v>
      </c>
      <c r="E10" s="14" t="s">
        <v>117</v>
      </c>
      <c r="F10" s="14" t="s">
        <v>118</v>
      </c>
      <c r="G10" s="15" t="s">
        <v>13</v>
      </c>
    </row>
    <row r="11" customFormat="false" ht="23.85" hidden="false" customHeight="false" outlineLevel="0" collapsed="false">
      <c r="A11" s="14" t="s">
        <v>119</v>
      </c>
      <c r="B11" s="14" t="s">
        <v>120</v>
      </c>
      <c r="C11" s="14" t="s">
        <v>121</v>
      </c>
      <c r="D11" s="15" t="s">
        <v>116</v>
      </c>
      <c r="E11" s="14" t="s">
        <v>122</v>
      </c>
      <c r="F11" s="14" t="s">
        <v>123</v>
      </c>
      <c r="G11" s="15" t="s">
        <v>13</v>
      </c>
    </row>
    <row r="12" customFormat="false" ht="15" hidden="false" customHeight="false" outlineLevel="0" collapsed="false">
      <c r="A12" s="14" t="s">
        <v>124</v>
      </c>
      <c r="B12" s="14" t="s">
        <v>125</v>
      </c>
      <c r="C12" s="14" t="s">
        <v>126</v>
      </c>
      <c r="D12" s="15" t="s">
        <v>110</v>
      </c>
      <c r="E12" s="14" t="s">
        <v>127</v>
      </c>
      <c r="F12" s="14" t="s">
        <v>128</v>
      </c>
      <c r="G12" s="15" t="s">
        <v>13</v>
      </c>
    </row>
    <row r="13" customFormat="false" ht="23.85" hidden="false" customHeight="false" outlineLevel="0" collapsed="false">
      <c r="A13" s="14" t="s">
        <v>129</v>
      </c>
      <c r="B13" s="14" t="s">
        <v>130</v>
      </c>
      <c r="C13" s="14" t="s">
        <v>131</v>
      </c>
      <c r="D13" s="15" t="s">
        <v>110</v>
      </c>
      <c r="E13" s="14" t="s">
        <v>132</v>
      </c>
      <c r="F13" s="14" t="s">
        <v>133</v>
      </c>
      <c r="G13" s="15" t="s">
        <v>13</v>
      </c>
    </row>
    <row r="14" customFormat="false" ht="15" hidden="false" customHeight="false" outlineLevel="0" collapsed="false">
      <c r="A14" s="14" t="s">
        <v>134</v>
      </c>
      <c r="B14" s="14" t="s">
        <v>135</v>
      </c>
      <c r="C14" s="14" t="s">
        <v>136</v>
      </c>
      <c r="D14" s="15" t="s">
        <v>94</v>
      </c>
      <c r="E14" s="14" t="s">
        <v>137</v>
      </c>
      <c r="F14" s="14" t="s">
        <v>138</v>
      </c>
      <c r="G14" s="15" t="s">
        <v>13</v>
      </c>
    </row>
    <row r="15" customFormat="false" ht="15" hidden="false" customHeight="false" outlineLevel="0" collapsed="false">
      <c r="A15" s="14" t="s">
        <v>139</v>
      </c>
      <c r="B15" s="14" t="s">
        <v>140</v>
      </c>
      <c r="C15" s="14" t="s">
        <v>141</v>
      </c>
      <c r="D15" s="15" t="s">
        <v>116</v>
      </c>
      <c r="E15" s="14" t="s">
        <v>142</v>
      </c>
      <c r="F15" s="14" t="s">
        <v>143</v>
      </c>
      <c r="G15" s="15" t="s">
        <v>13</v>
      </c>
    </row>
    <row r="16" customFormat="false" ht="15" hidden="false" customHeight="false" outlineLevel="0" collapsed="false">
      <c r="A16" s="14" t="s">
        <v>144</v>
      </c>
      <c r="B16" s="14" t="s">
        <v>145</v>
      </c>
      <c r="C16" s="14" t="s">
        <v>146</v>
      </c>
      <c r="D16" s="15" t="s">
        <v>88</v>
      </c>
      <c r="E16" s="14" t="s">
        <v>147</v>
      </c>
      <c r="F16" s="14" t="s">
        <v>148</v>
      </c>
      <c r="G16" s="15" t="s">
        <v>13</v>
      </c>
    </row>
    <row r="17" customFormat="false" ht="15" hidden="false" customHeight="false" outlineLevel="0" collapsed="false">
      <c r="A17" s="14" t="s">
        <v>149</v>
      </c>
      <c r="B17" s="14" t="s">
        <v>150</v>
      </c>
      <c r="C17" s="14" t="s">
        <v>40</v>
      </c>
      <c r="D17" s="15" t="s">
        <v>110</v>
      </c>
      <c r="E17" s="14" t="s">
        <v>151</v>
      </c>
      <c r="F17" s="14" t="s">
        <v>152</v>
      </c>
      <c r="G17" s="15" t="s">
        <v>13</v>
      </c>
    </row>
    <row r="18" customFormat="false" ht="23.85" hidden="false" customHeight="false" outlineLevel="0" collapsed="false">
      <c r="A18" s="14" t="s">
        <v>153</v>
      </c>
      <c r="B18" s="14" t="s">
        <v>154</v>
      </c>
      <c r="C18" s="14" t="s">
        <v>40</v>
      </c>
      <c r="D18" s="15" t="s">
        <v>155</v>
      </c>
      <c r="E18" s="14" t="s">
        <v>156</v>
      </c>
      <c r="F18" s="14" t="s">
        <v>157</v>
      </c>
      <c r="G18" s="15" t="s">
        <v>13</v>
      </c>
    </row>
    <row r="19" customFormat="false" ht="15" hidden="false" customHeight="false" outlineLevel="0" collapsed="false">
      <c r="A19" s="14" t="s">
        <v>158</v>
      </c>
      <c r="B19" s="14" t="s">
        <v>159</v>
      </c>
      <c r="C19" s="14" t="s">
        <v>40</v>
      </c>
      <c r="D19" s="15" t="s">
        <v>88</v>
      </c>
      <c r="E19" s="14" t="s">
        <v>160</v>
      </c>
      <c r="F19" s="14" t="s">
        <v>161</v>
      </c>
      <c r="G19" s="15" t="s">
        <v>15</v>
      </c>
    </row>
    <row r="21" customFormat="false" ht="15" hidden="false" customHeight="false" outlineLevel="0" collapsed="false">
      <c r="A21" s="7" t="s">
        <v>162</v>
      </c>
    </row>
    <row r="22" customFormat="false" ht="15" hidden="false" customHeight="false" outlineLevel="0" collapsed="false">
      <c r="A22" s="8" t="s">
        <v>163</v>
      </c>
      <c r="B22" s="8" t="s">
        <v>164</v>
      </c>
      <c r="C22" s="8" t="s">
        <v>165</v>
      </c>
      <c r="D22" s="8"/>
      <c r="E22" s="8"/>
    </row>
    <row r="23" customFormat="false" ht="23.85" hidden="false" customHeight="true" outlineLevel="0" collapsed="false">
      <c r="A23" s="14" t="s">
        <v>166</v>
      </c>
      <c r="B23" s="14" t="s">
        <v>167</v>
      </c>
      <c r="C23" s="14" t="s">
        <v>168</v>
      </c>
      <c r="D23" s="14"/>
      <c r="E23" s="14"/>
    </row>
    <row r="24" customFormat="false" ht="23.85" hidden="false" customHeight="true" outlineLevel="0" collapsed="false">
      <c r="A24" s="14" t="s">
        <v>169</v>
      </c>
      <c r="B24" s="14" t="s">
        <v>170</v>
      </c>
      <c r="C24" s="14" t="s">
        <v>171</v>
      </c>
      <c r="D24" s="14"/>
      <c r="E24" s="14"/>
    </row>
    <row r="25" customFormat="false" ht="15" hidden="false" customHeight="true" outlineLevel="0" collapsed="false">
      <c r="A25" s="14" t="s">
        <v>172</v>
      </c>
      <c r="B25" s="14" t="s">
        <v>173</v>
      </c>
      <c r="C25" s="14" t="s">
        <v>174</v>
      </c>
      <c r="D25" s="14"/>
      <c r="E25" s="14"/>
    </row>
    <row r="26" customFormat="false" ht="35.05" hidden="false" customHeight="true" outlineLevel="0" collapsed="false">
      <c r="A26" s="14" t="s">
        <v>175</v>
      </c>
      <c r="B26" s="14" t="s">
        <v>176</v>
      </c>
      <c r="C26" s="14" t="s">
        <v>177</v>
      </c>
      <c r="D26" s="14"/>
      <c r="E26" s="14"/>
    </row>
    <row r="27" customFormat="false" ht="35.05" hidden="false" customHeight="true" outlineLevel="0" collapsed="false">
      <c r="A27" s="14" t="s">
        <v>178</v>
      </c>
      <c r="B27" s="14" t="s">
        <v>40</v>
      </c>
      <c r="C27" s="14" t="s">
        <v>179</v>
      </c>
      <c r="D27" s="14"/>
      <c r="E27" s="14"/>
    </row>
  </sheetData>
  <mergeCells count="6">
    <mergeCell ref="C22:E22"/>
    <mergeCell ref="C23:E23"/>
    <mergeCell ref="C24:E24"/>
    <mergeCell ref="C25:E25"/>
    <mergeCell ref="C26:E26"/>
    <mergeCell ref="C27:E27"/>
  </mergeCells>
  <conditionalFormatting sqref="G5:G19">
    <cfRule type="cellIs" priority="2" operator="equal" aboveAverage="0" equalAverage="0" bottom="0" percent="0" rank="0" text="" dxfId="0">
      <formula>"Not started"</formula>
    </cfRule>
    <cfRule type="cellIs" priority="3" operator="equal" aboveAverage="0" equalAverage="0" bottom="0" percent="0" rank="0" text="" dxfId="1">
      <formula>"Stub"</formula>
    </cfRule>
    <cfRule type="cellIs" priority="4" operator="equal" aboveAverage="0" equalAverage="0" bottom="0" percent="0" rank="0" text="" dxfId="2">
      <formula>"In progress"</formula>
    </cfRule>
    <cfRule type="cellIs" priority="5" operator="equal" aboveAverage="0" equalAverage="0" bottom="0" percent="0" rank="0" text="" dxfId="3">
      <formula>"Done"</formula>
    </cfRule>
  </conditionalFormatting>
  <dataValidations count="1">
    <dataValidation allowBlank="true" errorStyle="stop" operator="between" showDropDown="false" showErrorMessage="false" showInputMessage="false" sqref="G5:G19" type="list">
      <formula1>"Not started,Stub,In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8"/>
    <col collapsed="false" customWidth="true" hidden="false" outlineLevel="0" max="3" min="3" style="0" width="16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180</v>
      </c>
    </row>
    <row r="2" customFormat="false" ht="15" hidden="false" customHeight="false" outlineLevel="0" collapsed="false">
      <c r="A2" s="2" t="s">
        <v>181</v>
      </c>
    </row>
    <row r="4" customFormat="false" ht="15" hidden="false" customHeight="false" outlineLevel="0" collapsed="false">
      <c r="A4" s="13" t="s">
        <v>182</v>
      </c>
      <c r="B4" s="13" t="s">
        <v>183</v>
      </c>
      <c r="C4" s="13" t="s">
        <v>184</v>
      </c>
      <c r="D4" s="13" t="s">
        <v>185</v>
      </c>
      <c r="E4" s="13" t="s">
        <v>79</v>
      </c>
      <c r="F4" s="13" t="s">
        <v>10</v>
      </c>
      <c r="G4" s="13" t="s">
        <v>186</v>
      </c>
    </row>
    <row r="5" customFormat="false" ht="15" hidden="false" customHeight="false" outlineLevel="0" collapsed="false">
      <c r="A5" s="16" t="n">
        <v>46319</v>
      </c>
      <c r="B5" s="14" t="s">
        <v>187</v>
      </c>
      <c r="C5" s="15" t="s">
        <v>155</v>
      </c>
      <c r="D5" s="14" t="s">
        <v>188</v>
      </c>
      <c r="E5" s="14" t="s">
        <v>85</v>
      </c>
      <c r="F5" s="15" t="s">
        <v>13</v>
      </c>
      <c r="G5" s="15"/>
    </row>
    <row r="6" customFormat="false" ht="15" hidden="false" customHeight="false" outlineLevel="0" collapsed="false">
      <c r="A6" s="16" t="n">
        <v>46319</v>
      </c>
      <c r="B6" s="14" t="s">
        <v>189</v>
      </c>
      <c r="C6" s="15" t="s">
        <v>155</v>
      </c>
      <c r="D6" s="14" t="s">
        <v>190</v>
      </c>
      <c r="E6" s="14" t="s">
        <v>153</v>
      </c>
      <c r="F6" s="15" t="s">
        <v>13</v>
      </c>
      <c r="G6" s="15"/>
    </row>
    <row r="7" customFormat="false" ht="23.85" hidden="false" customHeight="false" outlineLevel="0" collapsed="false">
      <c r="A7" s="16" t="n">
        <v>46320</v>
      </c>
      <c r="B7" s="14" t="s">
        <v>191</v>
      </c>
      <c r="C7" s="15" t="s">
        <v>88</v>
      </c>
      <c r="D7" s="14" t="s">
        <v>192</v>
      </c>
      <c r="E7" s="14" t="s">
        <v>85</v>
      </c>
      <c r="F7" s="15" t="s">
        <v>13</v>
      </c>
      <c r="G7" s="15"/>
    </row>
    <row r="8" customFormat="false" ht="15" hidden="false" customHeight="false" outlineLevel="0" collapsed="false">
      <c r="A8" s="16" t="n">
        <v>46320</v>
      </c>
      <c r="B8" s="14" t="s">
        <v>193</v>
      </c>
      <c r="C8" s="15" t="s">
        <v>110</v>
      </c>
      <c r="D8" s="14" t="s">
        <v>194</v>
      </c>
      <c r="E8" s="14" t="s">
        <v>149</v>
      </c>
      <c r="F8" s="15" t="s">
        <v>13</v>
      </c>
      <c r="G8" s="15"/>
    </row>
    <row r="9" customFormat="false" ht="15" hidden="false" customHeight="false" outlineLevel="0" collapsed="false">
      <c r="A9" s="16" t="n">
        <v>46321</v>
      </c>
      <c r="B9" s="14" t="s">
        <v>195</v>
      </c>
      <c r="C9" s="15" t="s">
        <v>94</v>
      </c>
      <c r="D9" s="14" t="s">
        <v>196</v>
      </c>
      <c r="E9" s="14" t="s">
        <v>197</v>
      </c>
      <c r="F9" s="15" t="s">
        <v>13</v>
      </c>
      <c r="G9" s="15"/>
    </row>
    <row r="10" customFormat="false" ht="15" hidden="false" customHeight="false" outlineLevel="0" collapsed="false">
      <c r="A10" s="16" t="n">
        <v>46321</v>
      </c>
      <c r="B10" s="14" t="s">
        <v>198</v>
      </c>
      <c r="C10" s="15" t="s">
        <v>110</v>
      </c>
      <c r="D10" s="14" t="s">
        <v>199</v>
      </c>
      <c r="E10" s="14" t="s">
        <v>200</v>
      </c>
      <c r="F10" s="15" t="s">
        <v>13</v>
      </c>
      <c r="G10" s="15"/>
    </row>
    <row r="11" customFormat="false" ht="15" hidden="false" customHeight="false" outlineLevel="0" collapsed="false">
      <c r="A11" s="16" t="n">
        <v>46322</v>
      </c>
      <c r="B11" s="14" t="s">
        <v>201</v>
      </c>
      <c r="C11" s="15" t="s">
        <v>116</v>
      </c>
      <c r="D11" s="14" t="s">
        <v>202</v>
      </c>
      <c r="E11" s="14" t="s">
        <v>113</v>
      </c>
      <c r="F11" s="15" t="s">
        <v>13</v>
      </c>
      <c r="G11" s="15"/>
    </row>
    <row r="12" customFormat="false" ht="15" hidden="false" customHeight="false" outlineLevel="0" collapsed="false">
      <c r="A12" s="16" t="n">
        <v>46322</v>
      </c>
      <c r="B12" s="14" t="s">
        <v>203</v>
      </c>
      <c r="C12" s="15" t="s">
        <v>110</v>
      </c>
      <c r="D12" s="14" t="s">
        <v>204</v>
      </c>
      <c r="E12" s="14" t="s">
        <v>129</v>
      </c>
      <c r="F12" s="15" t="s">
        <v>13</v>
      </c>
      <c r="G12" s="15"/>
    </row>
    <row r="13" customFormat="false" ht="15" hidden="false" customHeight="false" outlineLevel="0" collapsed="false">
      <c r="A13" s="16" t="n">
        <v>46323</v>
      </c>
      <c r="B13" s="14" t="s">
        <v>205</v>
      </c>
      <c r="C13" s="15" t="s">
        <v>116</v>
      </c>
      <c r="D13" s="14" t="s">
        <v>206</v>
      </c>
      <c r="E13" s="14" t="s">
        <v>207</v>
      </c>
      <c r="F13" s="15" t="s">
        <v>13</v>
      </c>
      <c r="G13" s="15"/>
    </row>
    <row r="14" customFormat="false" ht="15" hidden="false" customHeight="false" outlineLevel="0" collapsed="false">
      <c r="A14" s="16" t="n">
        <v>46323</v>
      </c>
      <c r="B14" s="14" t="s">
        <v>208</v>
      </c>
      <c r="C14" s="15" t="s">
        <v>94</v>
      </c>
      <c r="D14" s="14" t="s">
        <v>209</v>
      </c>
      <c r="E14" s="14" t="s">
        <v>134</v>
      </c>
      <c r="F14" s="15" t="s">
        <v>13</v>
      </c>
      <c r="G14" s="15"/>
    </row>
    <row r="15" customFormat="false" ht="23.85" hidden="false" customHeight="false" outlineLevel="0" collapsed="false">
      <c r="A15" s="16" t="n">
        <v>46323</v>
      </c>
      <c r="B15" s="14" t="s">
        <v>210</v>
      </c>
      <c r="C15" s="15" t="s">
        <v>88</v>
      </c>
      <c r="D15" s="14" t="s">
        <v>211</v>
      </c>
      <c r="E15" s="14" t="s">
        <v>40</v>
      </c>
      <c r="F15" s="15" t="s">
        <v>13</v>
      </c>
      <c r="G15" s="15"/>
    </row>
    <row r="16" customFormat="false" ht="15" hidden="false" customHeight="false" outlineLevel="0" collapsed="false">
      <c r="A16" s="16" t="n">
        <v>46324</v>
      </c>
      <c r="B16" s="14" t="s">
        <v>212</v>
      </c>
      <c r="C16" s="15" t="s">
        <v>155</v>
      </c>
      <c r="D16" s="14" t="s">
        <v>213</v>
      </c>
      <c r="E16" s="14" t="s">
        <v>153</v>
      </c>
      <c r="F16" s="15" t="s">
        <v>13</v>
      </c>
      <c r="G16" s="15"/>
    </row>
    <row r="17" customFormat="false" ht="15" hidden="false" customHeight="false" outlineLevel="0" collapsed="false">
      <c r="A17" s="16" t="n">
        <v>46324</v>
      </c>
      <c r="B17" s="14" t="s">
        <v>214</v>
      </c>
      <c r="C17" s="15" t="s">
        <v>88</v>
      </c>
      <c r="D17" s="14" t="s">
        <v>215</v>
      </c>
      <c r="E17" s="14" t="s">
        <v>158</v>
      </c>
      <c r="F17" s="15" t="s">
        <v>13</v>
      </c>
      <c r="G17" s="15"/>
    </row>
    <row r="18" customFormat="false" ht="15" hidden="false" customHeight="false" outlineLevel="0" collapsed="false">
      <c r="A18" s="16" t="n">
        <v>46324</v>
      </c>
      <c r="B18" s="14" t="s">
        <v>216</v>
      </c>
      <c r="C18" s="15" t="s">
        <v>155</v>
      </c>
      <c r="D18" s="14" t="s">
        <v>217</v>
      </c>
      <c r="E18" s="14" t="s">
        <v>153</v>
      </c>
      <c r="F18" s="15" t="s">
        <v>13</v>
      </c>
      <c r="G18" s="15"/>
    </row>
    <row r="19" customFormat="false" ht="15" hidden="false" customHeight="false" outlineLevel="0" collapsed="false">
      <c r="A19" s="16" t="n">
        <v>46325</v>
      </c>
      <c r="B19" s="14" t="s">
        <v>218</v>
      </c>
      <c r="C19" s="15" t="s">
        <v>155</v>
      </c>
      <c r="D19" s="14" t="s">
        <v>219</v>
      </c>
      <c r="E19" s="14" t="s">
        <v>85</v>
      </c>
      <c r="F19" s="15" t="s">
        <v>13</v>
      </c>
      <c r="G19" s="15"/>
    </row>
    <row r="20" customFormat="false" ht="15" hidden="false" customHeight="false" outlineLevel="0" collapsed="false">
      <c r="A20" s="16" t="n">
        <v>46325</v>
      </c>
      <c r="B20" s="14" t="s">
        <v>220</v>
      </c>
      <c r="C20" s="15" t="s">
        <v>88</v>
      </c>
      <c r="D20" s="14" t="s">
        <v>221</v>
      </c>
      <c r="E20" s="14" t="s">
        <v>222</v>
      </c>
      <c r="F20" s="15" t="s">
        <v>13</v>
      </c>
      <c r="G20" s="15"/>
    </row>
    <row r="21" customFormat="false" ht="15" hidden="false" customHeight="false" outlineLevel="0" collapsed="false">
      <c r="A21" s="16" t="n">
        <v>46325</v>
      </c>
      <c r="B21" s="14" t="s">
        <v>223</v>
      </c>
      <c r="C21" s="15" t="s">
        <v>155</v>
      </c>
      <c r="D21" s="14" t="s">
        <v>224</v>
      </c>
      <c r="E21" s="14" t="s">
        <v>40</v>
      </c>
      <c r="F21" s="15" t="s">
        <v>13</v>
      </c>
      <c r="G21" s="15"/>
    </row>
  </sheetData>
  <conditionalFormatting sqref="F5:F21">
    <cfRule type="cellIs" priority="2" operator="equal" aboveAverage="0" equalAverage="0" bottom="0" percent="0" rank="0" text="" dxfId="0">
      <formula>"Not started"</formula>
    </cfRule>
    <cfRule type="cellIs" priority="3" operator="equal" aboveAverage="0" equalAverage="0" bottom="0" percent="0" rank="0" text="" dxfId="1">
      <formula>"Stub"</formula>
    </cfRule>
    <cfRule type="cellIs" priority="4" operator="equal" aboveAverage="0" equalAverage="0" bottom="0" percent="0" rank="0" text="" dxfId="2">
      <formula>"In progress"</formula>
    </cfRule>
    <cfRule type="cellIs" priority="5" operator="equal" aboveAverage="0" equalAverage="0" bottom="0" percent="0" rank="0" text="" dxfId="3">
      <formula>"Done"</formula>
    </cfRule>
  </conditionalFormatting>
  <dataValidations count="1">
    <dataValidation allowBlank="true" errorStyle="stop" operator="between" showDropDown="false" showErrorMessage="false" showInputMessage="false" sqref="F5:F21" type="list">
      <formula1>"Not started,Stub,In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225</v>
      </c>
    </row>
    <row r="2" customFormat="false" ht="15" hidden="false" customHeight="false" outlineLevel="0" collapsed="false">
      <c r="A2" s="2" t="s">
        <v>226</v>
      </c>
    </row>
    <row r="4" customFormat="false" ht="15" hidden="false" customHeight="false" outlineLevel="0" collapsed="false">
      <c r="A4" s="13" t="s">
        <v>227</v>
      </c>
      <c r="B4" s="13" t="s">
        <v>228</v>
      </c>
      <c r="C4" s="13" t="s">
        <v>229</v>
      </c>
      <c r="D4" s="13" t="s">
        <v>230</v>
      </c>
    </row>
    <row r="5" customFormat="false" ht="35.05" hidden="false" customHeight="false" outlineLevel="0" collapsed="false">
      <c r="A5" s="14" t="s">
        <v>231</v>
      </c>
      <c r="B5" s="14" t="s">
        <v>232</v>
      </c>
      <c r="C5" s="15" t="s">
        <v>233</v>
      </c>
      <c r="D5" s="15" t="s">
        <v>234</v>
      </c>
    </row>
    <row r="6" customFormat="false" ht="23.85" hidden="false" customHeight="false" outlineLevel="0" collapsed="false">
      <c r="A6" s="14" t="s">
        <v>116</v>
      </c>
      <c r="B6" s="14" t="s">
        <v>232</v>
      </c>
      <c r="C6" s="15" t="s">
        <v>235</v>
      </c>
      <c r="D6" s="15" t="s">
        <v>236</v>
      </c>
    </row>
    <row r="7" customFormat="false" ht="23.85" hidden="false" customHeight="false" outlineLevel="0" collapsed="false">
      <c r="A7" s="14" t="s">
        <v>94</v>
      </c>
      <c r="B7" s="14" t="s">
        <v>232</v>
      </c>
      <c r="C7" s="15" t="s">
        <v>237</v>
      </c>
      <c r="D7" s="15" t="s">
        <v>238</v>
      </c>
    </row>
    <row r="8" customFormat="false" ht="15" hidden="false" customHeight="false" outlineLevel="0" collapsed="false">
      <c r="A8" s="14" t="s">
        <v>231</v>
      </c>
      <c r="B8" s="14" t="s">
        <v>239</v>
      </c>
      <c r="C8" s="15"/>
      <c r="D8" s="15" t="s">
        <v>240</v>
      </c>
    </row>
    <row r="9" customFormat="false" ht="15" hidden="false" customHeight="false" outlineLevel="0" collapsed="false">
      <c r="A9" s="14" t="s">
        <v>116</v>
      </c>
      <c r="B9" s="14" t="s">
        <v>239</v>
      </c>
      <c r="C9" s="15"/>
      <c r="D9" s="15" t="s">
        <v>240</v>
      </c>
    </row>
    <row r="10" customFormat="false" ht="15" hidden="false" customHeight="false" outlineLevel="0" collapsed="false">
      <c r="A10" s="14" t="s">
        <v>94</v>
      </c>
      <c r="B10" s="14" t="s">
        <v>239</v>
      </c>
      <c r="C10" s="15"/>
      <c r="D10" s="15" t="s">
        <v>240</v>
      </c>
    </row>
    <row r="12" customFormat="false" ht="15" hidden="false" customHeight="false" outlineLevel="0" collapsed="false">
      <c r="A12" s="2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6" min="5" style="0" width="45"/>
  </cols>
  <sheetData>
    <row r="1" customFormat="false" ht="17.35" hidden="false" customHeight="false" outlineLevel="0" collapsed="false">
      <c r="A1" s="1" t="s">
        <v>242</v>
      </c>
    </row>
    <row r="2" customFormat="false" ht="15" hidden="false" customHeight="false" outlineLevel="0" collapsed="false">
      <c r="A2" s="2" t="s">
        <v>243</v>
      </c>
    </row>
    <row r="4" customFormat="false" ht="15" hidden="false" customHeight="false" outlineLevel="0" collapsed="false">
      <c r="A4" s="13" t="s">
        <v>182</v>
      </c>
      <c r="B4" s="13" t="s">
        <v>244</v>
      </c>
      <c r="C4" s="13" t="s">
        <v>245</v>
      </c>
      <c r="D4" s="13" t="s">
        <v>246</v>
      </c>
      <c r="E4" s="13" t="s">
        <v>247</v>
      </c>
      <c r="F4" s="13" t="s">
        <v>248</v>
      </c>
    </row>
    <row r="5" customFormat="false" ht="15" hidden="false" customHeight="false" outlineLevel="0" collapsed="false">
      <c r="A5" s="17" t="n">
        <v>46319</v>
      </c>
      <c r="B5" s="15" t="s">
        <v>249</v>
      </c>
      <c r="C5" s="15" t="s">
        <v>155</v>
      </c>
      <c r="D5" s="15" t="s">
        <v>250</v>
      </c>
      <c r="E5" s="15" t="s">
        <v>251</v>
      </c>
      <c r="F5" s="15" t="s">
        <v>252</v>
      </c>
    </row>
    <row r="6" customFormat="false" ht="15" hidden="false" customHeight="false" outlineLevel="0" collapsed="false">
      <c r="A6" s="17" t="n">
        <v>46323</v>
      </c>
      <c r="B6" s="15" t="s">
        <v>253</v>
      </c>
      <c r="C6" s="15" t="s">
        <v>155</v>
      </c>
      <c r="D6" s="15" t="s">
        <v>254</v>
      </c>
      <c r="E6" s="15"/>
      <c r="F6" s="15"/>
    </row>
    <row r="7" customFormat="false" ht="15" hidden="false" customHeight="false" outlineLevel="0" collapsed="false">
      <c r="A7" s="17"/>
      <c r="B7" s="15"/>
      <c r="C7" s="15"/>
      <c r="D7" s="15"/>
      <c r="E7" s="15"/>
      <c r="F7" s="15"/>
    </row>
    <row r="8" customFormat="false" ht="15" hidden="false" customHeight="false" outlineLevel="0" collapsed="false">
      <c r="A8" s="17"/>
      <c r="B8" s="15"/>
      <c r="C8" s="15"/>
      <c r="D8" s="15"/>
      <c r="E8" s="15"/>
      <c r="F8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2026-10-24T19:44:37Z</dcterms:created>
  <dc:creator>openpyxl</dc:creator>
  <dc:description/>
  <dc:language>en-US</dc:language>
  <cp:lastModifiedBy/>
  <dcterms:modified xsi:type="dcterms:W3CDTF">2026-10-24T19:44:37Z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